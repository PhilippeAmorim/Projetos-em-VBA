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Jairo\Sem\"/>
    </mc:Choice>
  </mc:AlternateContent>
  <xr:revisionPtr revIDLastSave="0" documentId="13_ncr:1_{5C644643-D9EF-42DF-907A-809A0F4621C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Movimentação" sheetId="3" r:id="rId1"/>
    <sheet name="Estoque" sheetId="5" r:id="rId2"/>
    <sheet name="Inventário" sheetId="6" r:id="rId3"/>
  </sheets>
  <definedNames>
    <definedName name="Produtos">OFFSET(Estoque!$A$2,,,COUNTA(Estoque!$A:$A),1)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6" l="1"/>
  <c r="F2" i="6"/>
  <c r="G2" i="6"/>
  <c r="H2" i="6" l="1"/>
</calcChain>
</file>

<file path=xl/sharedStrings.xml><?xml version="1.0" encoding="utf-8"?>
<sst xmlns="http://schemas.openxmlformats.org/spreadsheetml/2006/main" count="286" uniqueCount="282">
  <si>
    <t>Item</t>
  </si>
  <si>
    <t>Movimentação</t>
  </si>
  <si>
    <t>Quantidade</t>
  </si>
  <si>
    <t>Data de movimentação</t>
  </si>
  <si>
    <t>Observações</t>
  </si>
  <si>
    <t>ID</t>
  </si>
  <si>
    <t>Lote</t>
  </si>
  <si>
    <t>Validade</t>
  </si>
  <si>
    <t>Câmara</t>
  </si>
  <si>
    <t>Câmara 01</t>
  </si>
  <si>
    <t>Câmara 02</t>
  </si>
  <si>
    <t>Câmara 03</t>
  </si>
  <si>
    <t>Câmara 04</t>
  </si>
  <si>
    <t>Câmara 05</t>
  </si>
  <si>
    <t>Câmara 06</t>
  </si>
  <si>
    <t>Câmara 07</t>
  </si>
  <si>
    <t>Câmara 08</t>
  </si>
  <si>
    <t>Câmara 09</t>
  </si>
  <si>
    <t>Itens</t>
  </si>
  <si>
    <t>Câmara 10</t>
  </si>
  <si>
    <t>Câmara 11</t>
  </si>
  <si>
    <t>Câmara 12</t>
  </si>
  <si>
    <t>Câmara 13</t>
  </si>
  <si>
    <t>Câmara 14</t>
  </si>
  <si>
    <t>Câmara 15</t>
  </si>
  <si>
    <t>Câmara 16</t>
  </si>
  <si>
    <t>Câmara 17</t>
  </si>
  <si>
    <t>Câmara 18</t>
  </si>
  <si>
    <t>Câmara 19</t>
  </si>
  <si>
    <t>Câmara 20</t>
  </si>
  <si>
    <t>Câmaras</t>
  </si>
  <si>
    <t>Prazo</t>
  </si>
  <si>
    <t>Entradas</t>
  </si>
  <si>
    <t>Saídas</t>
  </si>
  <si>
    <t>Quantidade no inventário</t>
  </si>
  <si>
    <t>Item teste 1</t>
  </si>
  <si>
    <t>Item teste 2</t>
  </si>
  <si>
    <t>Item teste 3</t>
  </si>
  <si>
    <t>Item teste 4</t>
  </si>
  <si>
    <t>Item teste 5</t>
  </si>
  <si>
    <t>Item teste 6</t>
  </si>
  <si>
    <t>Item teste 7</t>
  </si>
  <si>
    <t>Item teste 8</t>
  </si>
  <si>
    <t>Item teste 9</t>
  </si>
  <si>
    <t>Item teste 10</t>
  </si>
  <si>
    <t>Item teste 11</t>
  </si>
  <si>
    <t>Item teste 12</t>
  </si>
  <si>
    <t>Item teste 13</t>
  </si>
  <si>
    <t>Item teste 14</t>
  </si>
  <si>
    <t>Item teste 15</t>
  </si>
  <si>
    <t>Item teste 16</t>
  </si>
  <si>
    <t>Item teste 17</t>
  </si>
  <si>
    <t>Item teste 18</t>
  </si>
  <si>
    <t>Item teste 19</t>
  </si>
  <si>
    <t>Item teste 20</t>
  </si>
  <si>
    <t>Item teste 21</t>
  </si>
  <si>
    <t>Item teste 22</t>
  </si>
  <si>
    <t>Item teste 23</t>
  </si>
  <si>
    <t>Item teste 24</t>
  </si>
  <si>
    <t>Item teste 25</t>
  </si>
  <si>
    <t>Item teste 26</t>
  </si>
  <si>
    <t>Item teste 27</t>
  </si>
  <si>
    <t>Item teste 28</t>
  </si>
  <si>
    <t>Item teste 29</t>
  </si>
  <si>
    <t>Item teste 30</t>
  </si>
  <si>
    <t>Item teste 31</t>
  </si>
  <si>
    <t>Item teste 32</t>
  </si>
  <si>
    <t>Item teste 33</t>
  </si>
  <si>
    <t>Item teste 34</t>
  </si>
  <si>
    <t>Item teste 35</t>
  </si>
  <si>
    <t>Item teste 36</t>
  </si>
  <si>
    <t>Item teste 37</t>
  </si>
  <si>
    <t>Item teste 38</t>
  </si>
  <si>
    <t>Item teste 39</t>
  </si>
  <si>
    <t>Item teste 40</t>
  </si>
  <si>
    <t>Item teste 41</t>
  </si>
  <si>
    <t>Item teste 42</t>
  </si>
  <si>
    <t>Item teste 43</t>
  </si>
  <si>
    <t>Item teste 44</t>
  </si>
  <si>
    <t>Item teste 45</t>
  </si>
  <si>
    <t>Item teste 46</t>
  </si>
  <si>
    <t>Item teste 47</t>
  </si>
  <si>
    <t>Item teste 48</t>
  </si>
  <si>
    <t>Item teste 49</t>
  </si>
  <si>
    <t>Item teste 50</t>
  </si>
  <si>
    <t>Item teste 51</t>
  </si>
  <si>
    <t>Item teste 52</t>
  </si>
  <si>
    <t>Item teste 53</t>
  </si>
  <si>
    <t>Item teste 54</t>
  </si>
  <si>
    <t>Item teste 55</t>
  </si>
  <si>
    <t>Item teste 56</t>
  </si>
  <si>
    <t>Item teste 57</t>
  </si>
  <si>
    <t>Item teste 58</t>
  </si>
  <si>
    <t>Item teste 59</t>
  </si>
  <si>
    <t>Item teste 60</t>
  </si>
  <si>
    <t>Item teste 61</t>
  </si>
  <si>
    <t>Item teste 62</t>
  </si>
  <si>
    <t>Item teste 63</t>
  </si>
  <si>
    <t>Item teste 64</t>
  </si>
  <si>
    <t>Item teste 65</t>
  </si>
  <si>
    <t>Item teste 66</t>
  </si>
  <si>
    <t>Item teste 67</t>
  </si>
  <si>
    <t>Item teste 68</t>
  </si>
  <si>
    <t>Item teste 69</t>
  </si>
  <si>
    <t>Item teste 70</t>
  </si>
  <si>
    <t>Item teste 71</t>
  </si>
  <si>
    <t>Item teste 72</t>
  </si>
  <si>
    <t>Item teste 73</t>
  </si>
  <si>
    <t>Item teste 74</t>
  </si>
  <si>
    <t>Item teste 75</t>
  </si>
  <si>
    <t>Item teste 76</t>
  </si>
  <si>
    <t>Item teste 77</t>
  </si>
  <si>
    <t>Item teste 78</t>
  </si>
  <si>
    <t>Item teste 79</t>
  </si>
  <si>
    <t>Item teste 80</t>
  </si>
  <si>
    <t>Item teste 81</t>
  </si>
  <si>
    <t>Item teste 82</t>
  </si>
  <si>
    <t>Item teste 83</t>
  </si>
  <si>
    <t>Item teste 84</t>
  </si>
  <si>
    <t>Item teste 85</t>
  </si>
  <si>
    <t>Item teste 86</t>
  </si>
  <si>
    <t>Item teste 87</t>
  </si>
  <si>
    <t>Item teste 88</t>
  </si>
  <si>
    <t>Item teste 89</t>
  </si>
  <si>
    <t>Item teste 90</t>
  </si>
  <si>
    <t>Item teste 91</t>
  </si>
  <si>
    <t>Item teste 92</t>
  </si>
  <si>
    <t>Item teste 93</t>
  </si>
  <si>
    <t>Item teste 94</t>
  </si>
  <si>
    <t>Item teste 95</t>
  </si>
  <si>
    <t>Item teste 96</t>
  </si>
  <si>
    <t>Item teste 97</t>
  </si>
  <si>
    <t>Item teste 98</t>
  </si>
  <si>
    <t>Item teste 99</t>
  </si>
  <si>
    <t>Item teste 100</t>
  </si>
  <si>
    <t>Item teste 101</t>
  </si>
  <si>
    <t>Item teste 102</t>
  </si>
  <si>
    <t>Item teste 103</t>
  </si>
  <si>
    <t>Item teste 104</t>
  </si>
  <si>
    <t>Item teste 105</t>
  </si>
  <si>
    <t>Item teste 106</t>
  </si>
  <si>
    <t>Item teste 107</t>
  </si>
  <si>
    <t>Item teste 108</t>
  </si>
  <si>
    <t>Item teste 109</t>
  </si>
  <si>
    <t>Item teste 110</t>
  </si>
  <si>
    <t>Item teste 111</t>
  </si>
  <si>
    <t>Item teste 112</t>
  </si>
  <si>
    <t>Item teste 113</t>
  </si>
  <si>
    <t>Item teste 114</t>
  </si>
  <si>
    <t>Item teste 115</t>
  </si>
  <si>
    <t>Item teste 116</t>
  </si>
  <si>
    <t>Item teste 117</t>
  </si>
  <si>
    <t>Item teste 118</t>
  </si>
  <si>
    <t>Item teste 119</t>
  </si>
  <si>
    <t>Item teste 120</t>
  </si>
  <si>
    <t>Item teste 121</t>
  </si>
  <si>
    <t>Item teste 122</t>
  </si>
  <si>
    <t>Item teste 123</t>
  </si>
  <si>
    <t>Item teste 124</t>
  </si>
  <si>
    <t>Item teste 125</t>
  </si>
  <si>
    <t>Item teste 126</t>
  </si>
  <si>
    <t>Item teste 127</t>
  </si>
  <si>
    <t>Item teste 128</t>
  </si>
  <si>
    <t>Item teste 129</t>
  </si>
  <si>
    <t>Item teste 130</t>
  </si>
  <si>
    <t>Item teste 131</t>
  </si>
  <si>
    <t>Item teste 132</t>
  </si>
  <si>
    <t>Item teste 133</t>
  </si>
  <si>
    <t>Item teste 134</t>
  </si>
  <si>
    <t>Item teste 135</t>
  </si>
  <si>
    <t>Item teste 136</t>
  </si>
  <si>
    <t>Item teste 137</t>
  </si>
  <si>
    <t>Item teste 138</t>
  </si>
  <si>
    <t>Item teste 139</t>
  </si>
  <si>
    <t>Item teste 140</t>
  </si>
  <si>
    <t>Item teste 141</t>
  </si>
  <si>
    <t>Item teste 142</t>
  </si>
  <si>
    <t>Item teste 143</t>
  </si>
  <si>
    <t>Item teste 144</t>
  </si>
  <si>
    <t>Item teste 145</t>
  </si>
  <si>
    <t>Item teste 146</t>
  </si>
  <si>
    <t>Item teste 147</t>
  </si>
  <si>
    <t>Item teste 148</t>
  </si>
  <si>
    <t>Item teste 149</t>
  </si>
  <si>
    <t>Item teste 150</t>
  </si>
  <si>
    <t>Item teste 151</t>
  </si>
  <si>
    <t>Item teste 152</t>
  </si>
  <si>
    <t>Item teste 153</t>
  </si>
  <si>
    <t>Item teste 154</t>
  </si>
  <si>
    <t>Item teste 155</t>
  </si>
  <si>
    <t>Item teste 156</t>
  </si>
  <si>
    <t>Item teste 157</t>
  </si>
  <si>
    <t>Item teste 158</t>
  </si>
  <si>
    <t>Item teste 159</t>
  </si>
  <si>
    <t>Item teste 160</t>
  </si>
  <si>
    <t>Item teste 161</t>
  </si>
  <si>
    <t>Item teste 162</t>
  </si>
  <si>
    <t>Item teste 163</t>
  </si>
  <si>
    <t>Item teste 164</t>
  </si>
  <si>
    <t>Item teste 165</t>
  </si>
  <si>
    <t>Item teste 166</t>
  </si>
  <si>
    <t>Item teste 167</t>
  </si>
  <si>
    <t>Item teste 168</t>
  </si>
  <si>
    <t>Item teste 169</t>
  </si>
  <si>
    <t>Item teste 170</t>
  </si>
  <si>
    <t>Item teste 171</t>
  </si>
  <si>
    <t>Item teste 172</t>
  </si>
  <si>
    <t>Item teste 173</t>
  </si>
  <si>
    <t>Item teste 174</t>
  </si>
  <si>
    <t>Item teste 175</t>
  </si>
  <si>
    <t>Item teste 176</t>
  </si>
  <si>
    <t>Item teste 177</t>
  </si>
  <si>
    <t>Item teste 178</t>
  </si>
  <si>
    <t>Item teste 179</t>
  </si>
  <si>
    <t>Item teste 180</t>
  </si>
  <si>
    <t>Item teste 181</t>
  </si>
  <si>
    <t>Item teste 182</t>
  </si>
  <si>
    <t>Item teste 183</t>
  </si>
  <si>
    <t>Item teste 184</t>
  </si>
  <si>
    <t>Item teste 185</t>
  </si>
  <si>
    <t>Item teste 186</t>
  </si>
  <si>
    <t>Item teste 187</t>
  </si>
  <si>
    <t>Item teste 188</t>
  </si>
  <si>
    <t>Item teste 189</t>
  </si>
  <si>
    <t>Item teste 190</t>
  </si>
  <si>
    <t>Item teste 191</t>
  </si>
  <si>
    <t>Item teste 192</t>
  </si>
  <si>
    <t>Item teste 193</t>
  </si>
  <si>
    <t>Item teste 194</t>
  </si>
  <si>
    <t>Item teste 195</t>
  </si>
  <si>
    <t>Item teste 196</t>
  </si>
  <si>
    <t>Item teste 197</t>
  </si>
  <si>
    <t>Item teste 198</t>
  </si>
  <si>
    <t>Item teste 199</t>
  </si>
  <si>
    <t>Item teste 200</t>
  </si>
  <si>
    <t>Item teste 201</t>
  </si>
  <si>
    <t>Item teste 202</t>
  </si>
  <si>
    <t>Item teste 203</t>
  </si>
  <si>
    <t>Item teste 204</t>
  </si>
  <si>
    <t>Item teste 205</t>
  </si>
  <si>
    <t>Item teste 206</t>
  </si>
  <si>
    <t>Item teste 207</t>
  </si>
  <si>
    <t>Item teste 208</t>
  </si>
  <si>
    <t>Item teste 209</t>
  </si>
  <si>
    <t>Item teste 210</t>
  </si>
  <si>
    <t>Item teste 211</t>
  </si>
  <si>
    <t>Item teste 212</t>
  </si>
  <si>
    <t>Item teste 213</t>
  </si>
  <si>
    <t>Item teste 214</t>
  </si>
  <si>
    <t>Item teste 215</t>
  </si>
  <si>
    <t>Item teste 216</t>
  </si>
  <si>
    <t>Item teste 217</t>
  </si>
  <si>
    <t>Item teste 218</t>
  </si>
  <si>
    <t>Item teste 219</t>
  </si>
  <si>
    <t>Item teste 220</t>
  </si>
  <si>
    <t>Item teste 221</t>
  </si>
  <si>
    <t>Item teste 222</t>
  </si>
  <si>
    <t>Item teste 223</t>
  </si>
  <si>
    <t>Item teste 224</t>
  </si>
  <si>
    <t>Item teste 225</t>
  </si>
  <si>
    <t>Item teste 226</t>
  </si>
  <si>
    <t>Item teste 227</t>
  </si>
  <si>
    <t>Item teste 228</t>
  </si>
  <si>
    <t>Item teste 229</t>
  </si>
  <si>
    <t>Item teste 230</t>
  </si>
  <si>
    <t>Item teste 231</t>
  </si>
  <si>
    <t>Item teste 232</t>
  </si>
  <si>
    <t>Item teste 233</t>
  </si>
  <si>
    <t>Item teste 234</t>
  </si>
  <si>
    <t>Item teste 235</t>
  </si>
  <si>
    <t>Item teste 236</t>
  </si>
  <si>
    <t>Item teste 237</t>
  </si>
  <si>
    <t>Item teste 238</t>
  </si>
  <si>
    <t>Item teste 239</t>
  </si>
  <si>
    <t>Item teste 240</t>
  </si>
  <si>
    <t>Item teste 241</t>
  </si>
  <si>
    <t>Item teste 242</t>
  </si>
  <si>
    <t>Item teste 243</t>
  </si>
  <si>
    <t>Item teste 244</t>
  </si>
  <si>
    <t>Item teste 245</t>
  </si>
  <si>
    <t>Item teste 246</t>
  </si>
  <si>
    <t>Item teste 247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</si>
</sst>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\ &quot;Meses&quot;"/>
    <numFmt numFmtId="165" formatCode="0\ &quot;Kg&quot;"/>
  </numFmts>
  <fonts count="9" x14ac:knownFonts="1">
    <font>
      <sz val="11"/>
      <color theme="1"/>
      <name val="Calibri"/>
      <family val="2"/>
      <scheme val="minor"/>
    </font>
    <font>
      <b/>
      <sz val="14"/>
      <name val="Arial Rounded MT Bold"/>
      <family val="2"/>
    </font>
    <font>
      <sz val="8"/>
      <name val="Arial Rounded MT Bold"/>
      <family val="2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2B8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1" fontId="1" fillId="2" borderId="0" xfId="0" applyNumberFormat="1" applyFont="1" applyFill="1" applyBorder="1" applyAlignment="1">
      <alignment horizontal="center" vertical="center" wrapText="1"/>
    </xf>
    <xf numFmtId="14" fontId="1" fillId="2" borderId="0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4" fontId="0" fillId="0" borderId="3" xfId="0" applyNumberFormat="1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28">
    <dxf>
      <numFmt numFmtId="165" formatCode="0\ &quot;Kg&quot;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0\ &quot;Meses&quot;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/>
        </top>
      </border>
    </dxf>
    <dxf>
      <numFmt numFmtId="166" formatCode="dd/mm/\y\y\y\y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 Rounded MT Bold"/>
        <scheme val="none"/>
      </font>
      <numFmt numFmtId="19" formatCode="dd/mm/yyyy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z val="14"/>
        <color auto="1"/>
        <name val="Arial Rounded MT Bold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/>
        </left>
        <right/>
        <top/>
        <bottom/>
        <vertical/>
        <horizontal/>
      </border>
      <protection locked="1" hidden="0"/>
    </dxf>
    <dxf>
      <border outline="0">
        <top style="thin">
          <color theme="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 Rounded MT Bold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0" defaultTableStyle="TableStyleMedium2" defaultPivotStyle="PivotStyleLight16"/>
  <colors>
    <mruColors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323923</xdr:colOff>
      <xdr:row>1</xdr:row>
      <xdr:rowOff>59278</xdr:rowOff>
    </xdr:from>
    <xdr:to>
      <xdr:col>11</xdr:col>
      <xdr:colOff>282911</xdr:colOff>
      <xdr:row>2</xdr:row>
      <xdr:rowOff>129764</xdr:rowOff>
    </xdr:to>
    <xdr:sp macro="[0]!abrir_formulario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596183" y="289111"/>
          <a:ext cx="1184463" cy="466726"/>
        </a:xfrm>
        <a:prstGeom prst="roundRect">
          <a:avLst/>
        </a:prstGeom>
        <a:solidFill>
          <a:srgbClr val="9C246B"/>
        </a:solidFill>
        <a:ln>
          <a:solidFill>
            <a:srgbClr val="9C24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>
              <a:latin typeface="Tw Cen MT" panose="020B0602020104020603" pitchFamily="34" charset="0"/>
            </a:rPr>
            <a:t>Voltar</a:t>
          </a:r>
          <a:r>
            <a:rPr lang="pt-BR" sz="1600" baseline="0">
              <a:latin typeface="Tw Cen MT" panose="020B0602020104020603" pitchFamily="34" charset="0"/>
            </a:rPr>
            <a:t> ao formulário</a:t>
          </a:r>
          <a:endParaRPr lang="pt-BR" sz="1600">
            <a:latin typeface="Tw Cen MT" panose="020B0602020104020603" pitchFamily="34" charset="0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550544</xdr:colOff>
      <xdr:row>1</xdr:row>
      <xdr:rowOff>38099</xdr:rowOff>
    </xdr:from>
    <xdr:to>
      <xdr:col>10</xdr:col>
      <xdr:colOff>516255</xdr:colOff>
      <xdr:row>3</xdr:row>
      <xdr:rowOff>152400</xdr:rowOff>
    </xdr:to>
    <xdr:sp macro="[0]!abrir_formulario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284719" y="257174"/>
          <a:ext cx="1184911" cy="447676"/>
        </a:xfrm>
        <a:prstGeom prst="roundRect">
          <a:avLst/>
        </a:prstGeom>
        <a:solidFill>
          <a:srgbClr val="9C246B"/>
        </a:solidFill>
        <a:ln>
          <a:solidFill>
            <a:srgbClr val="9C24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>
              <a:latin typeface="Tw Cen MT" panose="020B0602020104020603" pitchFamily="34" charset="0"/>
            </a:rPr>
            <a:t>Voltar</a:t>
          </a:r>
          <a:r>
            <a:rPr lang="pt-BR" sz="1600" baseline="0">
              <a:latin typeface="Tw Cen MT" panose="020B0602020104020603" pitchFamily="34" charset="0"/>
            </a:rPr>
            <a:t> ao formulário</a:t>
          </a:r>
          <a:endParaRPr lang="pt-BR" sz="1600">
            <a:latin typeface="Tw Cen MT" panose="020B06020201040206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160020</xdr:colOff>
      <xdr:row>0</xdr:row>
      <xdr:rowOff>333376</xdr:rowOff>
    </xdr:from>
    <xdr:to>
      <xdr:col>10</xdr:col>
      <xdr:colOff>125731</xdr:colOff>
      <xdr:row>4</xdr:row>
      <xdr:rowOff>9525</xdr:rowOff>
    </xdr:to>
    <xdr:sp macro="[0]!abrir_formulario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161395" y="333376"/>
          <a:ext cx="1184911" cy="704849"/>
        </a:xfrm>
        <a:prstGeom prst="roundRect">
          <a:avLst/>
        </a:prstGeom>
        <a:solidFill>
          <a:srgbClr val="9C246B"/>
        </a:solidFill>
        <a:ln>
          <a:solidFill>
            <a:srgbClr val="9C246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600">
              <a:latin typeface="Tw Cen MT" panose="020B0602020104020603" pitchFamily="34" charset="0"/>
            </a:rPr>
            <a:t>Voltar</a:t>
          </a:r>
          <a:r>
            <a:rPr lang="pt-BR" sz="1600" baseline="0">
              <a:latin typeface="Tw Cen MT" panose="020B0602020104020603" pitchFamily="34" charset="0"/>
            </a:rPr>
            <a:t> ao formulário</a:t>
          </a:r>
          <a:endParaRPr lang="pt-BR" sz="1600">
            <a:latin typeface="Tw Cen MT" panose="020B06020201040206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A1:I2" insertRow="1" totalsRowShown="0" tableBorderDxfId="27">
  <autoFilter ref="A1:I2" xr:uid="{00000000-0009-0000-0100-000003000000}"/>
  <tableColumns count="9">
    <tableColumn id="1" xr3:uid="{00000000-0010-0000-0000-000001000000}" name="Item" dataDxfId="26"/>
    <tableColumn id="2" xr3:uid="{00000000-0010-0000-0000-000002000000}" name="Movimentação" dataDxfId="25"/>
    <tableColumn id="3" xr3:uid="{00000000-0010-0000-0000-000003000000}" name="Quantidade" dataDxfId="24"/>
    <tableColumn id="4" xr3:uid="{00000000-0010-0000-0000-000004000000}" name="Data de movimentação" dataDxfId="23"/>
    <tableColumn id="5" xr3:uid="{00000000-0010-0000-0000-000005000000}" name="Observações" dataDxfId="22"/>
    <tableColumn id="6" xr3:uid="{00000000-0010-0000-0000-000006000000}" name="ID" dataDxfId="21"/>
    <tableColumn id="7" xr3:uid="{00000000-0010-0000-0000-000007000000}" name="Lote" dataDxfId="20"/>
    <tableColumn id="8" xr3:uid="{00000000-0010-0000-0000-000008000000}" name="Validade" dataDxfId="19"/>
    <tableColumn id="9" xr3:uid="{00000000-0010-0000-0000-000009000000}" name="Câmar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B248" totalsRowShown="0" headerRowDxfId="15" dataDxfId="14" tableBorderDxfId="13">
  <autoFilter ref="A1:B248" xr:uid="{00000000-0009-0000-0100-000001000000}"/>
  <tableColumns count="2">
    <tableColumn id="1" xr3:uid="{00000000-0010-0000-0100-000001000000}" name="Itens" dataDxfId="12"/>
    <tableColumn id="2" xr3:uid="{00000000-0010-0000-0100-000002000000}" name="Câmaras" dataDxfId="11">
      <calculatedColumnFormula>SUMIFS(Movimentação!C:C,Movimentação!A:A,Estoque!A2,Movimentação!B:B,"Entrada",Movimentação!I:I,$A$2)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ela2" displayName="Tabela2" ref="A1:H2" totalsRowShown="0" headerRowDxfId="10" dataDxfId="9" tableBorderDxfId="8">
  <autoFilter ref="A1:H2" xr:uid="{00000000-0009-0000-0100-000002000000}"/>
  <sortState xmlns:xlrd2="http://schemas.microsoft.com/office/spreadsheetml/2017/richdata2" ref="A2:H2">
    <sortCondition descending="1" ref="D2"/>
  </sortState>
  <tableColumns count="8">
    <tableColumn id="1" xr3:uid="{00000000-0010-0000-0200-000001000000}" name="Lote" dataDxfId="7"/>
    <tableColumn id="2" xr3:uid="{00000000-0010-0000-0200-000002000000}" name="Item" dataDxfId="6"/>
    <tableColumn id="3" xr3:uid="{00000000-0010-0000-0200-000003000000}" name="Validade" dataDxfId="5"/>
    <tableColumn id="4" xr3:uid="{00000000-0010-0000-0200-000004000000}" name="Prazo" dataDxfId="4">
      <calculatedColumnFormula>IF(((Tabela2[[#This Row],[Validade]]-TODAY())/30)&lt;0, "Vencido",ROUND((Tabela2[[#This Row],[Validade]]-TODAY())/30,1))</calculatedColumnFormula>
    </tableColumn>
    <tableColumn id="5" xr3:uid="{00000000-0010-0000-0200-000005000000}" name="Câmara" dataDxfId="3"/>
    <tableColumn id="6" xr3:uid="{00000000-0010-0000-0200-000006000000}" name="Entradas" dataDxfId="2">
      <calculatedColumnFormula>SUMIFS(Movimentação!C:C,Movimentação!A:A,Tabela2[[#This Row],[Item]],Movimentação!G:G,Tabela2[[#This Row],[Lote]],Movimentação!I:I,Tabela2[[#This Row],[Câmara]],Movimentação!B:B,"Entrada")</calculatedColumnFormula>
    </tableColumn>
    <tableColumn id="7" xr3:uid="{00000000-0010-0000-0200-000007000000}" name="Saídas" dataDxfId="1">
      <calculatedColumnFormula>SUMIFS(Movimentação!C:C,Movimentação!A:A,Tabela2[[#This Row],[Item]],Movimentação!G:G,Tabela2[[#This Row],[Lote]],Movimentação!I:I,Tabela2[[#This Row],[Câmara]],Movimentação!B:B,"Saída")</calculatedColumnFormula>
    </tableColumn>
    <tableColumn id="8" xr3:uid="{00000000-0010-0000-0200-000008000000}" name="Quantidade no inventário" dataDxfId="0">
      <calculatedColumnFormula>Tabela2[Entradas]-Tabela2[Saídas]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I2"/>
  <sheetViews>
    <sheetView zoomScale="85" zoomScaleNormal="85" workbookViewId="0"/>
  </sheetViews>
  <sheetFormatPr defaultRowHeight="15" x14ac:dyDescent="0.25"/>
  <cols>
    <col min="1" max="1" width="25.28515625" style="4" customWidth="1"/>
    <col min="2" max="2" width="24.7109375" style="4" customWidth="1"/>
    <col min="3" max="3" width="21.42578125" style="9" customWidth="1"/>
    <col min="4" max="4" width="37.28515625" style="10" customWidth="1"/>
    <col min="5" max="5" width="23" style="4" customWidth="1"/>
    <col min="6" max="6" width="16.7109375" style="9" bestFit="1" customWidth="1"/>
    <col min="7" max="7" width="23.7109375" style="11" customWidth="1"/>
    <col min="8" max="8" width="20" bestFit="1" customWidth="1"/>
    <col min="9" max="9" width="22.140625" style="4" customWidth="1"/>
  </cols>
  <sheetData>
    <row r="1" spans="1:9" ht="18" x14ac:dyDescent="0.25">
      <c r="A1" s="2" t="s">
        <v>0</v>
      </c>
      <c r="B1" s="5" t="s">
        <v>1</v>
      </c>
      <c r="C1" s="6" t="s">
        <v>2</v>
      </c>
      <c r="D1" s="7" t="s">
        <v>3</v>
      </c>
      <c r="E1" s="5" t="s">
        <v>4</v>
      </c>
      <c r="F1" s="17" t="s">
        <v>5</v>
      </c>
      <c r="G1" s="17" t="s">
        <v>6</v>
      </c>
      <c r="H1" s="17" t="s">
        <v>7</v>
      </c>
      <c r="I1" s="5" t="s">
        <v>8</v>
      </c>
    </row>
    <row r="2" spans="1:9" ht="30" customHeight="1" x14ac:dyDescent="0.25">
      <c r="A2" s="13"/>
      <c r="B2" s="13"/>
      <c r="C2" s="14"/>
      <c r="D2" s="15"/>
      <c r="E2" s="13"/>
      <c r="F2" s="14"/>
      <c r="G2" s="16"/>
      <c r="H2" s="15"/>
      <c r="I2" s="13"/>
    </row>
  </sheetData>
  <dataValidations count="1">
    <dataValidation type="list" allowBlank="1" showInputMessage="1" showErrorMessage="1" sqref="A2:A1048576" xr:uid="{00000000-0002-0000-0000-000000000000}">
      <formula1>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1000000}">
          <x14:formula1>
            <xm:f>Estoque!$B$1:$B$1</xm:f>
          </x14:formula1>
          <xm:sqref>B1:B1048576</xm:sqref>
        </x14:dataValidation>
        <x14:dataValidation type="custom" allowBlank="1" showInputMessage="1" showErrorMessage="1" errorTitle="Quantidade inválida!" error="Você não tem itens suficientes em estoque para essa operação." xr:uid="{00000000-0002-0000-0000-000002000000}">
          <x14:formula1>
            <xm:f>COUNTIF(Estoque!#REF!,"&lt;0")=0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B1984"/>
  <sheetViews>
    <sheetView showGridLines="0" topLeftCell="A16" workbookViewId="0">
      <selection activeCell="A249" sqref="A249"/>
    </sheetView>
  </sheetViews>
  <sheetFormatPr defaultRowHeight="15" outlineLevelRow="1" x14ac:dyDescent="0.25"/>
  <cols>
    <col min="1" max="1" width="21.28515625" customWidth="1"/>
    <col min="2" max="2" width="22.28515625" bestFit="1" customWidth="1"/>
    <col min="4" max="4" width="10" customWidth="1"/>
  </cols>
  <sheetData>
    <row r="1" spans="1:2" ht="18" x14ac:dyDescent="0.25">
      <c r="A1" s="1" t="s">
        <v>18</v>
      </c>
      <c r="B1" s="2" t="s">
        <v>30</v>
      </c>
    </row>
    <row r="2" spans="1:2" ht="18.75" outlineLevel="1" x14ac:dyDescent="0.25">
      <c r="A2" s="3" t="s">
        <v>35</v>
      </c>
      <c r="B2" s="12" t="s">
        <v>9</v>
      </c>
    </row>
    <row r="3" spans="1:2" ht="18.75" outlineLevel="1" x14ac:dyDescent="0.25">
      <c r="A3" s="3" t="s">
        <v>36</v>
      </c>
      <c r="B3" s="12" t="s">
        <v>10</v>
      </c>
    </row>
    <row r="4" spans="1:2" ht="18.75" outlineLevel="1" x14ac:dyDescent="0.25">
      <c r="A4" s="3" t="s">
        <v>37</v>
      </c>
      <c r="B4" s="12" t="s">
        <v>11</v>
      </c>
    </row>
    <row r="5" spans="1:2" ht="18.75" outlineLevel="1" x14ac:dyDescent="0.25">
      <c r="A5" s="3" t="s">
        <v>38</v>
      </c>
      <c r="B5" s="12" t="s">
        <v>12</v>
      </c>
    </row>
    <row r="6" spans="1:2" ht="18.75" outlineLevel="1" x14ac:dyDescent="0.25">
      <c r="A6" s="3" t="s">
        <v>39</v>
      </c>
      <c r="B6" s="12" t="s">
        <v>13</v>
      </c>
    </row>
    <row r="7" spans="1:2" ht="18.75" outlineLevel="1" x14ac:dyDescent="0.25">
      <c r="A7" s="3" t="s">
        <v>40</v>
      </c>
      <c r="B7" s="12" t="s">
        <v>14</v>
      </c>
    </row>
    <row r="8" spans="1:2" ht="18.75" outlineLevel="1" x14ac:dyDescent="0.25">
      <c r="A8" s="3" t="s">
        <v>41</v>
      </c>
      <c r="B8" s="12" t="s">
        <v>15</v>
      </c>
    </row>
    <row r="9" spans="1:2" ht="18.75" outlineLevel="1" x14ac:dyDescent="0.25">
      <c r="A9" s="3" t="s">
        <v>42</v>
      </c>
      <c r="B9" s="12" t="s">
        <v>16</v>
      </c>
    </row>
    <row r="10" spans="1:2" ht="18.75" outlineLevel="1" x14ac:dyDescent="0.25">
      <c r="A10" s="3" t="s">
        <v>43</v>
      </c>
      <c r="B10" s="12" t="s">
        <v>17</v>
      </c>
    </row>
    <row r="11" spans="1:2" ht="18.75" outlineLevel="1" x14ac:dyDescent="0.25">
      <c r="A11" s="3" t="s">
        <v>44</v>
      </c>
      <c r="B11" s="12" t="s">
        <v>19</v>
      </c>
    </row>
    <row r="12" spans="1:2" ht="18.75" outlineLevel="1" x14ac:dyDescent="0.25">
      <c r="A12" s="3" t="s">
        <v>45</v>
      </c>
      <c r="B12" s="12" t="s">
        <v>20</v>
      </c>
    </row>
    <row r="13" spans="1:2" ht="18.75" outlineLevel="1" x14ac:dyDescent="0.25">
      <c r="A13" s="3" t="s">
        <v>46</v>
      </c>
      <c r="B13" s="12" t="s">
        <v>21</v>
      </c>
    </row>
    <row r="14" spans="1:2" ht="18.75" outlineLevel="1" x14ac:dyDescent="0.25">
      <c r="A14" s="3" t="s">
        <v>47</v>
      </c>
      <c r="B14" s="12" t="s">
        <v>22</v>
      </c>
    </row>
    <row r="15" spans="1:2" ht="18.75" outlineLevel="1" x14ac:dyDescent="0.25">
      <c r="A15" s="3" t="s">
        <v>48</v>
      </c>
      <c r="B15" s="12" t="s">
        <v>23</v>
      </c>
    </row>
    <row r="16" spans="1:2" ht="18.75" outlineLevel="1" x14ac:dyDescent="0.25">
      <c r="A16" s="3" t="s">
        <v>49</v>
      </c>
      <c r="B16" s="12" t="s">
        <v>24</v>
      </c>
    </row>
    <row r="17" spans="1:2" ht="18.75" outlineLevel="1" x14ac:dyDescent="0.25">
      <c r="A17" s="3" t="s">
        <v>50</v>
      </c>
      <c r="B17" s="12" t="s">
        <v>25</v>
      </c>
    </row>
    <row r="18" spans="1:2" ht="18.75" outlineLevel="1" x14ac:dyDescent="0.25">
      <c r="A18" s="3" t="s">
        <v>51</v>
      </c>
      <c r="B18" s="12" t="s">
        <v>26</v>
      </c>
    </row>
    <row r="19" spans="1:2" ht="18.75" outlineLevel="1" x14ac:dyDescent="0.25">
      <c r="A19" s="3" t="s">
        <v>52</v>
      </c>
      <c r="B19" s="12" t="s">
        <v>27</v>
      </c>
    </row>
    <row r="20" spans="1:2" ht="18.75" outlineLevel="1" x14ac:dyDescent="0.25">
      <c r="A20" s="3" t="s">
        <v>53</v>
      </c>
      <c r="B20" s="12" t="s">
        <v>28</v>
      </c>
    </row>
    <row r="21" spans="1:2" ht="18.75" outlineLevel="1" x14ac:dyDescent="0.25">
      <c r="A21" s="3" t="s">
        <v>54</v>
      </c>
      <c r="B21" s="12" t="s">
        <v>29</v>
      </c>
    </row>
    <row r="22" spans="1:2" outlineLevel="1" x14ac:dyDescent="0.25">
      <c r="A22" s="3" t="s">
        <v>55</v>
      </c>
    </row>
    <row r="23" spans="1:2" outlineLevel="1" x14ac:dyDescent="0.25">
      <c r="A23" s="3" t="s">
        <v>56</v>
      </c>
    </row>
    <row r="24" spans="1:2" outlineLevel="1" x14ac:dyDescent="0.25">
      <c r="A24" s="3" t="s">
        <v>57</v>
      </c>
    </row>
    <row r="25" spans="1:2" outlineLevel="1" x14ac:dyDescent="0.25">
      <c r="A25" s="3" t="s">
        <v>58</v>
      </c>
    </row>
    <row r="26" spans="1:2" outlineLevel="1" x14ac:dyDescent="0.25">
      <c r="A26" s="3" t="s">
        <v>59</v>
      </c>
    </row>
    <row r="27" spans="1:2" outlineLevel="1" x14ac:dyDescent="0.25">
      <c r="A27" s="3" t="s">
        <v>60</v>
      </c>
    </row>
    <row r="28" spans="1:2" outlineLevel="1" x14ac:dyDescent="0.25">
      <c r="A28" s="3" t="s">
        <v>61</v>
      </c>
    </row>
    <row r="29" spans="1:2" outlineLevel="1" x14ac:dyDescent="0.25">
      <c r="A29" s="3" t="s">
        <v>62</v>
      </c>
    </row>
    <row r="30" spans="1:2" outlineLevel="1" x14ac:dyDescent="0.25">
      <c r="A30" s="3" t="s">
        <v>63</v>
      </c>
    </row>
    <row r="31" spans="1:2" outlineLevel="1" x14ac:dyDescent="0.25">
      <c r="A31" s="3" t="s">
        <v>64</v>
      </c>
    </row>
    <row r="32" spans="1:2" outlineLevel="1" x14ac:dyDescent="0.25">
      <c r="A32" s="3" t="s">
        <v>65</v>
      </c>
    </row>
    <row r="33" spans="1:1" outlineLevel="1" x14ac:dyDescent="0.25">
      <c r="A33" s="3" t="s">
        <v>66</v>
      </c>
    </row>
    <row r="34" spans="1:1" outlineLevel="1" x14ac:dyDescent="0.25">
      <c r="A34" s="3" t="s">
        <v>67</v>
      </c>
    </row>
    <row r="35" spans="1:1" outlineLevel="1" x14ac:dyDescent="0.25">
      <c r="A35" s="3" t="s">
        <v>68</v>
      </c>
    </row>
    <row r="36" spans="1:1" outlineLevel="1" x14ac:dyDescent="0.25">
      <c r="A36" s="3" t="s">
        <v>69</v>
      </c>
    </row>
    <row r="37" spans="1:1" outlineLevel="1" x14ac:dyDescent="0.25">
      <c r="A37" s="3" t="s">
        <v>70</v>
      </c>
    </row>
    <row r="38" spans="1:1" outlineLevel="1" x14ac:dyDescent="0.25">
      <c r="A38" s="3" t="s">
        <v>71</v>
      </c>
    </row>
    <row r="39" spans="1:1" outlineLevel="1" x14ac:dyDescent="0.25">
      <c r="A39" s="3" t="s">
        <v>72</v>
      </c>
    </row>
    <row r="40" spans="1:1" outlineLevel="1" x14ac:dyDescent="0.25">
      <c r="A40" s="3" t="s">
        <v>73</v>
      </c>
    </row>
    <row r="41" spans="1:1" outlineLevel="1" x14ac:dyDescent="0.25">
      <c r="A41" s="3" t="s">
        <v>74</v>
      </c>
    </row>
    <row r="42" spans="1:1" outlineLevel="1" x14ac:dyDescent="0.25">
      <c r="A42" s="3" t="s">
        <v>75</v>
      </c>
    </row>
    <row r="43" spans="1:1" outlineLevel="1" x14ac:dyDescent="0.25">
      <c r="A43" s="3" t="s">
        <v>76</v>
      </c>
    </row>
    <row r="44" spans="1:1" outlineLevel="1" x14ac:dyDescent="0.25">
      <c r="A44" s="3" t="s">
        <v>77</v>
      </c>
    </row>
    <row r="45" spans="1:1" outlineLevel="1" x14ac:dyDescent="0.25">
      <c r="A45" s="3" t="s">
        <v>78</v>
      </c>
    </row>
    <row r="46" spans="1:1" outlineLevel="1" x14ac:dyDescent="0.25">
      <c r="A46" s="3" t="s">
        <v>79</v>
      </c>
    </row>
    <row r="47" spans="1:1" outlineLevel="1" x14ac:dyDescent="0.25">
      <c r="A47" s="3" t="s">
        <v>80</v>
      </c>
    </row>
    <row r="48" spans="1:1" outlineLevel="1" x14ac:dyDescent="0.25">
      <c r="A48" s="3" t="s">
        <v>81</v>
      </c>
    </row>
    <row r="49" spans="1:1" outlineLevel="1" x14ac:dyDescent="0.25">
      <c r="A49" s="3" t="s">
        <v>82</v>
      </c>
    </row>
    <row r="50" spans="1:1" outlineLevel="1" x14ac:dyDescent="0.25">
      <c r="A50" s="3" t="s">
        <v>83</v>
      </c>
    </row>
    <row r="51" spans="1:1" outlineLevel="1" x14ac:dyDescent="0.25">
      <c r="A51" s="3" t="s">
        <v>84</v>
      </c>
    </row>
    <row r="52" spans="1:1" outlineLevel="1" x14ac:dyDescent="0.25">
      <c r="A52" s="3" t="s">
        <v>85</v>
      </c>
    </row>
    <row r="53" spans="1:1" outlineLevel="1" x14ac:dyDescent="0.25">
      <c r="A53" s="3" t="s">
        <v>86</v>
      </c>
    </row>
    <row r="54" spans="1:1" outlineLevel="1" x14ac:dyDescent="0.25">
      <c r="A54" s="3" t="s">
        <v>87</v>
      </c>
    </row>
    <row r="55" spans="1:1" outlineLevel="1" x14ac:dyDescent="0.25">
      <c r="A55" s="3" t="s">
        <v>88</v>
      </c>
    </row>
    <row r="56" spans="1:1" outlineLevel="1" x14ac:dyDescent="0.25">
      <c r="A56" s="3" t="s">
        <v>89</v>
      </c>
    </row>
    <row r="57" spans="1:1" outlineLevel="1" x14ac:dyDescent="0.25">
      <c r="A57" s="3" t="s">
        <v>90</v>
      </c>
    </row>
    <row r="58" spans="1:1" outlineLevel="1" x14ac:dyDescent="0.25">
      <c r="A58" s="3" t="s">
        <v>91</v>
      </c>
    </row>
    <row r="59" spans="1:1" outlineLevel="1" x14ac:dyDescent="0.25">
      <c r="A59" s="3" t="s">
        <v>92</v>
      </c>
    </row>
    <row r="60" spans="1:1" outlineLevel="1" x14ac:dyDescent="0.25">
      <c r="A60" s="3" t="s">
        <v>93</v>
      </c>
    </row>
    <row r="61" spans="1:1" outlineLevel="1" x14ac:dyDescent="0.25">
      <c r="A61" s="3" t="s">
        <v>94</v>
      </c>
    </row>
    <row r="62" spans="1:1" outlineLevel="1" x14ac:dyDescent="0.25">
      <c r="A62" s="3" t="s">
        <v>95</v>
      </c>
    </row>
    <row r="63" spans="1:1" outlineLevel="1" x14ac:dyDescent="0.25">
      <c r="A63" s="3" t="s">
        <v>96</v>
      </c>
    </row>
    <row r="64" spans="1:1" outlineLevel="1" x14ac:dyDescent="0.25">
      <c r="A64" s="3" t="s">
        <v>97</v>
      </c>
    </row>
    <row r="65" spans="1:1" outlineLevel="1" x14ac:dyDescent="0.25">
      <c r="A65" s="3" t="s">
        <v>98</v>
      </c>
    </row>
    <row r="66" spans="1:1" outlineLevel="1" x14ac:dyDescent="0.25">
      <c r="A66" s="3" t="s">
        <v>99</v>
      </c>
    </row>
    <row r="67" spans="1:1" outlineLevel="1" x14ac:dyDescent="0.25">
      <c r="A67" s="3" t="s">
        <v>100</v>
      </c>
    </row>
    <row r="68" spans="1:1" outlineLevel="1" x14ac:dyDescent="0.25">
      <c r="A68" s="3" t="s">
        <v>101</v>
      </c>
    </row>
    <row r="69" spans="1:1" outlineLevel="1" x14ac:dyDescent="0.25">
      <c r="A69" s="3" t="s">
        <v>102</v>
      </c>
    </row>
    <row r="70" spans="1:1" outlineLevel="1" x14ac:dyDescent="0.25">
      <c r="A70" s="3" t="s">
        <v>103</v>
      </c>
    </row>
    <row r="71" spans="1:1" outlineLevel="1" x14ac:dyDescent="0.25">
      <c r="A71" s="3" t="s">
        <v>104</v>
      </c>
    </row>
    <row r="72" spans="1:1" outlineLevel="1" x14ac:dyDescent="0.25">
      <c r="A72" s="3" t="s">
        <v>105</v>
      </c>
    </row>
    <row r="73" spans="1:1" outlineLevel="1" x14ac:dyDescent="0.25">
      <c r="A73" s="3" t="s">
        <v>106</v>
      </c>
    </row>
    <row r="74" spans="1:1" outlineLevel="1" x14ac:dyDescent="0.25">
      <c r="A74" s="3" t="s">
        <v>107</v>
      </c>
    </row>
    <row r="75" spans="1:1" outlineLevel="1" x14ac:dyDescent="0.25">
      <c r="A75" s="3" t="s">
        <v>108</v>
      </c>
    </row>
    <row r="76" spans="1:1" outlineLevel="1" x14ac:dyDescent="0.25">
      <c r="A76" s="3" t="s">
        <v>109</v>
      </c>
    </row>
    <row r="77" spans="1:1" outlineLevel="1" x14ac:dyDescent="0.25">
      <c r="A77" s="3" t="s">
        <v>110</v>
      </c>
    </row>
    <row r="78" spans="1:1" outlineLevel="1" x14ac:dyDescent="0.25">
      <c r="A78" s="3" t="s">
        <v>111</v>
      </c>
    </row>
    <row r="79" spans="1:1" outlineLevel="1" x14ac:dyDescent="0.25">
      <c r="A79" s="3" t="s">
        <v>112</v>
      </c>
    </row>
    <row r="80" spans="1:1" outlineLevel="1" x14ac:dyDescent="0.25">
      <c r="A80" s="3" t="s">
        <v>113</v>
      </c>
    </row>
    <row r="81" spans="1:1" outlineLevel="1" x14ac:dyDescent="0.25">
      <c r="A81" s="3" t="s">
        <v>114</v>
      </c>
    </row>
    <row r="82" spans="1:1" outlineLevel="1" x14ac:dyDescent="0.25">
      <c r="A82" s="3" t="s">
        <v>115</v>
      </c>
    </row>
    <row r="83" spans="1:1" outlineLevel="1" x14ac:dyDescent="0.25">
      <c r="A83" s="3" t="s">
        <v>116</v>
      </c>
    </row>
    <row r="84" spans="1:1" outlineLevel="1" x14ac:dyDescent="0.25">
      <c r="A84" s="3" t="s">
        <v>117</v>
      </c>
    </row>
    <row r="85" spans="1:1" outlineLevel="1" x14ac:dyDescent="0.25">
      <c r="A85" s="3" t="s">
        <v>118</v>
      </c>
    </row>
    <row r="86" spans="1:1" outlineLevel="1" x14ac:dyDescent="0.25">
      <c r="A86" s="3" t="s">
        <v>119</v>
      </c>
    </row>
    <row r="87" spans="1:1" outlineLevel="1" x14ac:dyDescent="0.25">
      <c r="A87" s="3" t="s">
        <v>120</v>
      </c>
    </row>
    <row r="88" spans="1:1" outlineLevel="1" x14ac:dyDescent="0.25">
      <c r="A88" s="3" t="s">
        <v>121</v>
      </c>
    </row>
    <row r="89" spans="1:1" outlineLevel="1" x14ac:dyDescent="0.25">
      <c r="A89" s="3" t="s">
        <v>122</v>
      </c>
    </row>
    <row r="90" spans="1:1" outlineLevel="1" x14ac:dyDescent="0.25">
      <c r="A90" s="3" t="s">
        <v>123</v>
      </c>
    </row>
    <row r="91" spans="1:1" outlineLevel="1" x14ac:dyDescent="0.25">
      <c r="A91" s="3" t="s">
        <v>124</v>
      </c>
    </row>
    <row r="92" spans="1:1" outlineLevel="1" x14ac:dyDescent="0.25">
      <c r="A92" s="3" t="s">
        <v>125</v>
      </c>
    </row>
    <row r="93" spans="1:1" outlineLevel="1" x14ac:dyDescent="0.25">
      <c r="A93" s="3" t="s">
        <v>126</v>
      </c>
    </row>
    <row r="94" spans="1:1" outlineLevel="1" x14ac:dyDescent="0.25">
      <c r="A94" s="3" t="s">
        <v>127</v>
      </c>
    </row>
    <row r="95" spans="1:1" outlineLevel="1" x14ac:dyDescent="0.25">
      <c r="A95" s="3" t="s">
        <v>128</v>
      </c>
    </row>
    <row r="96" spans="1:1" outlineLevel="1" x14ac:dyDescent="0.25">
      <c r="A96" s="3" t="s">
        <v>129</v>
      </c>
    </row>
    <row r="97" spans="1:1" outlineLevel="1" x14ac:dyDescent="0.25">
      <c r="A97" s="3" t="s">
        <v>130</v>
      </c>
    </row>
    <row r="98" spans="1:1" outlineLevel="1" x14ac:dyDescent="0.25">
      <c r="A98" s="3" t="s">
        <v>131</v>
      </c>
    </row>
    <row r="99" spans="1:1" outlineLevel="1" x14ac:dyDescent="0.25">
      <c r="A99" s="3" t="s">
        <v>132</v>
      </c>
    </row>
    <row r="100" spans="1:1" outlineLevel="1" x14ac:dyDescent="0.25">
      <c r="A100" s="3" t="s">
        <v>133</v>
      </c>
    </row>
    <row r="101" spans="1:1" outlineLevel="1" x14ac:dyDescent="0.25">
      <c r="A101" s="3" t="s">
        <v>134</v>
      </c>
    </row>
    <row r="102" spans="1:1" outlineLevel="1" x14ac:dyDescent="0.25">
      <c r="A102" s="3" t="s">
        <v>135</v>
      </c>
    </row>
    <row r="103" spans="1:1" outlineLevel="1" x14ac:dyDescent="0.25">
      <c r="A103" s="3" t="s">
        <v>136</v>
      </c>
    </row>
    <row r="104" spans="1:1" outlineLevel="1" x14ac:dyDescent="0.25">
      <c r="A104" s="3" t="s">
        <v>137</v>
      </c>
    </row>
    <row r="105" spans="1:1" outlineLevel="1" x14ac:dyDescent="0.25">
      <c r="A105" s="3" t="s">
        <v>138</v>
      </c>
    </row>
    <row r="106" spans="1:1" outlineLevel="1" x14ac:dyDescent="0.25">
      <c r="A106" s="3" t="s">
        <v>139</v>
      </c>
    </row>
    <row r="107" spans="1:1" outlineLevel="1" x14ac:dyDescent="0.25">
      <c r="A107" s="3" t="s">
        <v>140</v>
      </c>
    </row>
    <row r="108" spans="1:1" outlineLevel="1" x14ac:dyDescent="0.25">
      <c r="A108" s="3" t="s">
        <v>141</v>
      </c>
    </row>
    <row r="109" spans="1:1" outlineLevel="1" x14ac:dyDescent="0.25">
      <c r="A109" s="3" t="s">
        <v>142</v>
      </c>
    </row>
    <row r="110" spans="1:1" outlineLevel="1" x14ac:dyDescent="0.25">
      <c r="A110" s="3" t="s">
        <v>143</v>
      </c>
    </row>
    <row r="111" spans="1:1" outlineLevel="1" x14ac:dyDescent="0.25">
      <c r="A111" s="3" t="s">
        <v>144</v>
      </c>
    </row>
    <row r="112" spans="1:1" outlineLevel="1" x14ac:dyDescent="0.25">
      <c r="A112" s="3" t="s">
        <v>145</v>
      </c>
    </row>
    <row r="113" spans="1:1" outlineLevel="1" x14ac:dyDescent="0.25">
      <c r="A113" s="3" t="s">
        <v>146</v>
      </c>
    </row>
    <row r="114" spans="1:1" outlineLevel="1" x14ac:dyDescent="0.25">
      <c r="A114" s="3" t="s">
        <v>147</v>
      </c>
    </row>
    <row r="115" spans="1:1" outlineLevel="1" x14ac:dyDescent="0.25">
      <c r="A115" s="3" t="s">
        <v>148</v>
      </c>
    </row>
    <row r="116" spans="1:1" outlineLevel="1" x14ac:dyDescent="0.25">
      <c r="A116" s="3" t="s">
        <v>149</v>
      </c>
    </row>
    <row r="117" spans="1:1" outlineLevel="1" x14ac:dyDescent="0.25">
      <c r="A117" s="3" t="s">
        <v>150</v>
      </c>
    </row>
    <row r="118" spans="1:1" outlineLevel="1" x14ac:dyDescent="0.25">
      <c r="A118" s="3" t="s">
        <v>151</v>
      </c>
    </row>
    <row r="119" spans="1:1" outlineLevel="1" x14ac:dyDescent="0.25">
      <c r="A119" s="3" t="s">
        <v>152</v>
      </c>
    </row>
    <row r="120" spans="1:1" outlineLevel="1" x14ac:dyDescent="0.25">
      <c r="A120" s="3" t="s">
        <v>153</v>
      </c>
    </row>
    <row r="121" spans="1:1" outlineLevel="1" x14ac:dyDescent="0.25">
      <c r="A121" s="3" t="s">
        <v>154</v>
      </c>
    </row>
    <row r="122" spans="1:1" outlineLevel="1" x14ac:dyDescent="0.25">
      <c r="A122" s="3" t="s">
        <v>155</v>
      </c>
    </row>
    <row r="123" spans="1:1" outlineLevel="1" x14ac:dyDescent="0.25">
      <c r="A123" s="3" t="s">
        <v>156</v>
      </c>
    </row>
    <row r="124" spans="1:1" outlineLevel="1" x14ac:dyDescent="0.25">
      <c r="A124" s="3" t="s">
        <v>157</v>
      </c>
    </row>
    <row r="125" spans="1:1" outlineLevel="1" x14ac:dyDescent="0.25">
      <c r="A125" s="3" t="s">
        <v>158</v>
      </c>
    </row>
    <row r="126" spans="1:1" outlineLevel="1" x14ac:dyDescent="0.25">
      <c r="A126" s="3" t="s">
        <v>159</v>
      </c>
    </row>
    <row r="127" spans="1:1" outlineLevel="1" x14ac:dyDescent="0.25">
      <c r="A127" s="3" t="s">
        <v>160</v>
      </c>
    </row>
    <row r="128" spans="1:1" outlineLevel="1" x14ac:dyDescent="0.25">
      <c r="A128" s="3" t="s">
        <v>161</v>
      </c>
    </row>
    <row r="129" spans="1:1" outlineLevel="1" x14ac:dyDescent="0.25">
      <c r="A129" s="3" t="s">
        <v>162</v>
      </c>
    </row>
    <row r="130" spans="1:1" outlineLevel="1" x14ac:dyDescent="0.25">
      <c r="A130" s="3" t="s">
        <v>163</v>
      </c>
    </row>
    <row r="131" spans="1:1" outlineLevel="1" x14ac:dyDescent="0.25">
      <c r="A131" s="3" t="s">
        <v>164</v>
      </c>
    </row>
    <row r="132" spans="1:1" outlineLevel="1" x14ac:dyDescent="0.25">
      <c r="A132" s="3" t="s">
        <v>165</v>
      </c>
    </row>
    <row r="133" spans="1:1" outlineLevel="1" x14ac:dyDescent="0.25">
      <c r="A133" s="3" t="s">
        <v>166</v>
      </c>
    </row>
    <row r="134" spans="1:1" outlineLevel="1" x14ac:dyDescent="0.25">
      <c r="A134" s="3" t="s">
        <v>167</v>
      </c>
    </row>
    <row r="135" spans="1:1" outlineLevel="1" x14ac:dyDescent="0.25">
      <c r="A135" s="3" t="s">
        <v>168</v>
      </c>
    </row>
    <row r="136" spans="1:1" outlineLevel="1" x14ac:dyDescent="0.25">
      <c r="A136" s="3" t="s">
        <v>169</v>
      </c>
    </row>
    <row r="137" spans="1:1" outlineLevel="1" x14ac:dyDescent="0.25">
      <c r="A137" s="3" t="s">
        <v>170</v>
      </c>
    </row>
    <row r="138" spans="1:1" outlineLevel="1" x14ac:dyDescent="0.25">
      <c r="A138" s="3" t="s">
        <v>171</v>
      </c>
    </row>
    <row r="139" spans="1:1" outlineLevel="1" x14ac:dyDescent="0.25">
      <c r="A139" s="3" t="s">
        <v>172</v>
      </c>
    </row>
    <row r="140" spans="1:1" outlineLevel="1" x14ac:dyDescent="0.25">
      <c r="A140" s="3" t="s">
        <v>173</v>
      </c>
    </row>
    <row r="141" spans="1:1" outlineLevel="1" x14ac:dyDescent="0.25">
      <c r="A141" s="3" t="s">
        <v>174</v>
      </c>
    </row>
    <row r="142" spans="1:1" outlineLevel="1" x14ac:dyDescent="0.25">
      <c r="A142" s="3" t="s">
        <v>175</v>
      </c>
    </row>
    <row r="143" spans="1:1" outlineLevel="1" x14ac:dyDescent="0.25">
      <c r="A143" s="3" t="s">
        <v>176</v>
      </c>
    </row>
    <row r="144" spans="1:1" outlineLevel="1" x14ac:dyDescent="0.25">
      <c r="A144" s="3" t="s">
        <v>177</v>
      </c>
    </row>
    <row r="145" spans="1:1" outlineLevel="1" x14ac:dyDescent="0.25">
      <c r="A145" s="3" t="s">
        <v>178</v>
      </c>
    </row>
    <row r="146" spans="1:1" outlineLevel="1" x14ac:dyDescent="0.25">
      <c r="A146" s="3" t="s">
        <v>179</v>
      </c>
    </row>
    <row r="147" spans="1:1" outlineLevel="1" x14ac:dyDescent="0.25">
      <c r="A147" s="3" t="s">
        <v>180</v>
      </c>
    </row>
    <row r="148" spans="1:1" outlineLevel="1" x14ac:dyDescent="0.25">
      <c r="A148" s="3" t="s">
        <v>181</v>
      </c>
    </row>
    <row r="149" spans="1:1" outlineLevel="1" x14ac:dyDescent="0.25">
      <c r="A149" s="3" t="s">
        <v>182</v>
      </c>
    </row>
    <row r="150" spans="1:1" outlineLevel="1" x14ac:dyDescent="0.25">
      <c r="A150" s="3" t="s">
        <v>183</v>
      </c>
    </row>
    <row r="151" spans="1:1" outlineLevel="1" x14ac:dyDescent="0.25">
      <c r="A151" s="3" t="s">
        <v>184</v>
      </c>
    </row>
    <row r="152" spans="1:1" outlineLevel="1" x14ac:dyDescent="0.25">
      <c r="A152" s="3" t="s">
        <v>185</v>
      </c>
    </row>
    <row r="153" spans="1:1" outlineLevel="1" x14ac:dyDescent="0.25">
      <c r="A153" s="3" t="s">
        <v>186</v>
      </c>
    </row>
    <row r="154" spans="1:1" outlineLevel="1" x14ac:dyDescent="0.25">
      <c r="A154" s="3" t="s">
        <v>187</v>
      </c>
    </row>
    <row r="155" spans="1:1" outlineLevel="1" x14ac:dyDescent="0.25">
      <c r="A155" s="3" t="s">
        <v>188</v>
      </c>
    </row>
    <row r="156" spans="1:1" outlineLevel="1" x14ac:dyDescent="0.25">
      <c r="A156" s="3" t="s">
        <v>189</v>
      </c>
    </row>
    <row r="157" spans="1:1" outlineLevel="1" x14ac:dyDescent="0.25">
      <c r="A157" s="3" t="s">
        <v>190</v>
      </c>
    </row>
    <row r="158" spans="1:1" outlineLevel="1" x14ac:dyDescent="0.25">
      <c r="A158" s="3" t="s">
        <v>191</v>
      </c>
    </row>
    <row r="159" spans="1:1" outlineLevel="1" x14ac:dyDescent="0.25">
      <c r="A159" s="3" t="s">
        <v>192</v>
      </c>
    </row>
    <row r="160" spans="1:1" outlineLevel="1" x14ac:dyDescent="0.25">
      <c r="A160" s="3" t="s">
        <v>193</v>
      </c>
    </row>
    <row r="161" spans="1:1" outlineLevel="1" x14ac:dyDescent="0.25">
      <c r="A161" s="3" t="s">
        <v>194</v>
      </c>
    </row>
    <row r="162" spans="1:1" outlineLevel="1" x14ac:dyDescent="0.25">
      <c r="A162" s="3" t="s">
        <v>195</v>
      </c>
    </row>
    <row r="163" spans="1:1" outlineLevel="1" x14ac:dyDescent="0.25">
      <c r="A163" s="3" t="s">
        <v>196</v>
      </c>
    </row>
    <row r="164" spans="1:1" outlineLevel="1" x14ac:dyDescent="0.25">
      <c r="A164" s="3" t="s">
        <v>197</v>
      </c>
    </row>
    <row r="165" spans="1:1" outlineLevel="1" x14ac:dyDescent="0.25">
      <c r="A165" s="3" t="s">
        <v>198</v>
      </c>
    </row>
    <row r="166" spans="1:1" outlineLevel="1" x14ac:dyDescent="0.25">
      <c r="A166" s="3" t="s">
        <v>199</v>
      </c>
    </row>
    <row r="167" spans="1:1" outlineLevel="1" x14ac:dyDescent="0.25">
      <c r="A167" s="3" t="s">
        <v>200</v>
      </c>
    </row>
    <row r="168" spans="1:1" outlineLevel="1" x14ac:dyDescent="0.25">
      <c r="A168" s="3" t="s">
        <v>201</v>
      </c>
    </row>
    <row r="169" spans="1:1" outlineLevel="1" x14ac:dyDescent="0.25">
      <c r="A169" s="3" t="s">
        <v>202</v>
      </c>
    </row>
    <row r="170" spans="1:1" outlineLevel="1" x14ac:dyDescent="0.25">
      <c r="A170" s="3" t="s">
        <v>203</v>
      </c>
    </row>
    <row r="171" spans="1:1" outlineLevel="1" x14ac:dyDescent="0.25">
      <c r="A171" s="3" t="s">
        <v>204</v>
      </c>
    </row>
    <row r="172" spans="1:1" outlineLevel="1" x14ac:dyDescent="0.25">
      <c r="A172" s="3" t="s">
        <v>205</v>
      </c>
    </row>
    <row r="173" spans="1:1" outlineLevel="1" x14ac:dyDescent="0.25">
      <c r="A173" s="3" t="s">
        <v>206</v>
      </c>
    </row>
    <row r="174" spans="1:1" outlineLevel="1" x14ac:dyDescent="0.25">
      <c r="A174" s="3" t="s">
        <v>207</v>
      </c>
    </row>
    <row r="175" spans="1:1" outlineLevel="1" x14ac:dyDescent="0.25">
      <c r="A175" s="3" t="s">
        <v>208</v>
      </c>
    </row>
    <row r="176" spans="1:1" outlineLevel="1" x14ac:dyDescent="0.25">
      <c r="A176" s="3" t="s">
        <v>209</v>
      </c>
    </row>
    <row r="177" spans="1:1" outlineLevel="1" x14ac:dyDescent="0.25">
      <c r="A177" s="3" t="s">
        <v>210</v>
      </c>
    </row>
    <row r="178" spans="1:1" outlineLevel="1" x14ac:dyDescent="0.25">
      <c r="A178" s="3" t="s">
        <v>211</v>
      </c>
    </row>
    <row r="179" spans="1:1" outlineLevel="1" x14ac:dyDescent="0.25">
      <c r="A179" s="3" t="s">
        <v>212</v>
      </c>
    </row>
    <row r="180" spans="1:1" outlineLevel="1" x14ac:dyDescent="0.25">
      <c r="A180" s="3" t="s">
        <v>213</v>
      </c>
    </row>
    <row r="181" spans="1:1" outlineLevel="1" x14ac:dyDescent="0.25">
      <c r="A181" s="3" t="s">
        <v>214</v>
      </c>
    </row>
    <row r="182" spans="1:1" outlineLevel="1" x14ac:dyDescent="0.25">
      <c r="A182" s="3" t="s">
        <v>215</v>
      </c>
    </row>
    <row r="183" spans="1:1" outlineLevel="1" x14ac:dyDescent="0.25">
      <c r="A183" s="3" t="s">
        <v>216</v>
      </c>
    </row>
    <row r="184" spans="1:1" outlineLevel="1" x14ac:dyDescent="0.25">
      <c r="A184" s="3" t="s">
        <v>217</v>
      </c>
    </row>
    <row r="185" spans="1:1" outlineLevel="1" x14ac:dyDescent="0.25">
      <c r="A185" s="3" t="s">
        <v>218</v>
      </c>
    </row>
    <row r="186" spans="1:1" outlineLevel="1" x14ac:dyDescent="0.25">
      <c r="A186" s="3" t="s">
        <v>219</v>
      </c>
    </row>
    <row r="187" spans="1:1" outlineLevel="1" x14ac:dyDescent="0.25">
      <c r="A187" s="3" t="s">
        <v>220</v>
      </c>
    </row>
    <row r="188" spans="1:1" outlineLevel="1" x14ac:dyDescent="0.25">
      <c r="A188" s="3" t="s">
        <v>221</v>
      </c>
    </row>
    <row r="189" spans="1:1" outlineLevel="1" x14ac:dyDescent="0.25">
      <c r="A189" s="3" t="s">
        <v>222</v>
      </c>
    </row>
    <row r="190" spans="1:1" outlineLevel="1" x14ac:dyDescent="0.25">
      <c r="A190" s="3" t="s">
        <v>223</v>
      </c>
    </row>
    <row r="191" spans="1:1" outlineLevel="1" x14ac:dyDescent="0.25">
      <c r="A191" s="3" t="s">
        <v>224</v>
      </c>
    </row>
    <row r="192" spans="1:1" outlineLevel="1" x14ac:dyDescent="0.25">
      <c r="A192" s="3" t="s">
        <v>225</v>
      </c>
    </row>
    <row r="193" spans="1:1" outlineLevel="1" x14ac:dyDescent="0.25">
      <c r="A193" s="3" t="s">
        <v>226</v>
      </c>
    </row>
    <row r="194" spans="1:1" outlineLevel="1" x14ac:dyDescent="0.25">
      <c r="A194" s="3" t="s">
        <v>227</v>
      </c>
    </row>
    <row r="195" spans="1:1" outlineLevel="1" x14ac:dyDescent="0.25">
      <c r="A195" s="3" t="s">
        <v>228</v>
      </c>
    </row>
    <row r="196" spans="1:1" outlineLevel="1" x14ac:dyDescent="0.25">
      <c r="A196" s="3" t="s">
        <v>229</v>
      </c>
    </row>
    <row r="197" spans="1:1" outlineLevel="1" x14ac:dyDescent="0.25">
      <c r="A197" s="3" t="s">
        <v>230</v>
      </c>
    </row>
    <row r="198" spans="1:1" outlineLevel="1" x14ac:dyDescent="0.25">
      <c r="A198" s="3" t="s">
        <v>231</v>
      </c>
    </row>
    <row r="199" spans="1:1" outlineLevel="1" x14ac:dyDescent="0.25">
      <c r="A199" s="3" t="s">
        <v>232</v>
      </c>
    </row>
    <row r="200" spans="1:1" outlineLevel="1" x14ac:dyDescent="0.25">
      <c r="A200" s="3" t="s">
        <v>233</v>
      </c>
    </row>
    <row r="201" spans="1:1" outlineLevel="1" x14ac:dyDescent="0.25">
      <c r="A201" s="3" t="s">
        <v>234</v>
      </c>
    </row>
    <row r="202" spans="1:1" outlineLevel="1" x14ac:dyDescent="0.25">
      <c r="A202" s="3" t="s">
        <v>235</v>
      </c>
    </row>
    <row r="203" spans="1:1" outlineLevel="1" x14ac:dyDescent="0.25">
      <c r="A203" s="3" t="s">
        <v>236</v>
      </c>
    </row>
    <row r="204" spans="1:1" outlineLevel="1" x14ac:dyDescent="0.25">
      <c r="A204" s="3" t="s">
        <v>237</v>
      </c>
    </row>
    <row r="205" spans="1:1" outlineLevel="1" x14ac:dyDescent="0.25">
      <c r="A205" s="3" t="s">
        <v>238</v>
      </c>
    </row>
    <row r="206" spans="1:1" outlineLevel="1" x14ac:dyDescent="0.25">
      <c r="A206" s="3" t="s">
        <v>239</v>
      </c>
    </row>
    <row r="207" spans="1:1" outlineLevel="1" x14ac:dyDescent="0.25">
      <c r="A207" s="3" t="s">
        <v>240</v>
      </c>
    </row>
    <row r="208" spans="1:1" outlineLevel="1" x14ac:dyDescent="0.25">
      <c r="A208" s="3" t="s">
        <v>241</v>
      </c>
    </row>
    <row r="209" spans="1:1" outlineLevel="1" x14ac:dyDescent="0.25">
      <c r="A209" s="3" t="s">
        <v>242</v>
      </c>
    </row>
    <row r="210" spans="1:1" outlineLevel="1" x14ac:dyDescent="0.25">
      <c r="A210" s="3" t="s">
        <v>243</v>
      </c>
    </row>
    <row r="211" spans="1:1" outlineLevel="1" x14ac:dyDescent="0.25">
      <c r="A211" s="3" t="s">
        <v>244</v>
      </c>
    </row>
    <row r="212" spans="1:1" outlineLevel="1" x14ac:dyDescent="0.25">
      <c r="A212" s="3" t="s">
        <v>245</v>
      </c>
    </row>
    <row r="213" spans="1:1" outlineLevel="1" x14ac:dyDescent="0.25">
      <c r="A213" s="3" t="s">
        <v>246</v>
      </c>
    </row>
    <row r="214" spans="1:1" outlineLevel="1" x14ac:dyDescent="0.25">
      <c r="A214" s="3" t="s">
        <v>247</v>
      </c>
    </row>
    <row r="215" spans="1:1" outlineLevel="1" x14ac:dyDescent="0.25">
      <c r="A215" s="3" t="s">
        <v>248</v>
      </c>
    </row>
    <row r="216" spans="1:1" outlineLevel="1" x14ac:dyDescent="0.25">
      <c r="A216" s="3" t="s">
        <v>249</v>
      </c>
    </row>
    <row r="217" spans="1:1" outlineLevel="1" x14ac:dyDescent="0.25">
      <c r="A217" s="3" t="s">
        <v>250</v>
      </c>
    </row>
    <row r="218" spans="1:1" outlineLevel="1" x14ac:dyDescent="0.25">
      <c r="A218" s="3" t="s">
        <v>251</v>
      </c>
    </row>
    <row r="219" spans="1:1" outlineLevel="1" x14ac:dyDescent="0.25">
      <c r="A219" s="3" t="s">
        <v>252</v>
      </c>
    </row>
    <row r="220" spans="1:1" outlineLevel="1" x14ac:dyDescent="0.25">
      <c r="A220" s="3" t="s">
        <v>253</v>
      </c>
    </row>
    <row r="221" spans="1:1" outlineLevel="1" x14ac:dyDescent="0.25">
      <c r="A221" s="3" t="s">
        <v>254</v>
      </c>
    </row>
    <row r="222" spans="1:1" outlineLevel="1" x14ac:dyDescent="0.25">
      <c r="A222" s="3" t="s">
        <v>255</v>
      </c>
    </row>
    <row r="223" spans="1:1" outlineLevel="1" x14ac:dyDescent="0.25">
      <c r="A223" s="3" t="s">
        <v>256</v>
      </c>
    </row>
    <row r="224" spans="1:1" outlineLevel="1" x14ac:dyDescent="0.25">
      <c r="A224" s="3" t="s">
        <v>257</v>
      </c>
    </row>
    <row r="225" spans="1:1" outlineLevel="1" x14ac:dyDescent="0.25">
      <c r="A225" s="3" t="s">
        <v>258</v>
      </c>
    </row>
    <row r="226" spans="1:1" outlineLevel="1" x14ac:dyDescent="0.25">
      <c r="A226" s="3" t="s">
        <v>259</v>
      </c>
    </row>
    <row r="227" spans="1:1" outlineLevel="1" x14ac:dyDescent="0.25">
      <c r="A227" s="3" t="s">
        <v>260</v>
      </c>
    </row>
    <row r="228" spans="1:1" outlineLevel="1" x14ac:dyDescent="0.25">
      <c r="A228" s="3" t="s">
        <v>261</v>
      </c>
    </row>
    <row r="229" spans="1:1" outlineLevel="1" x14ac:dyDescent="0.25">
      <c r="A229" s="3" t="s">
        <v>262</v>
      </c>
    </row>
    <row r="230" spans="1:1" outlineLevel="1" x14ac:dyDescent="0.25">
      <c r="A230" s="3" t="s">
        <v>263</v>
      </c>
    </row>
    <row r="231" spans="1:1" outlineLevel="1" x14ac:dyDescent="0.25">
      <c r="A231" s="3" t="s">
        <v>264</v>
      </c>
    </row>
    <row r="232" spans="1:1" outlineLevel="1" x14ac:dyDescent="0.25">
      <c r="A232" s="3" t="s">
        <v>265</v>
      </c>
    </row>
    <row r="233" spans="1:1" outlineLevel="1" x14ac:dyDescent="0.25">
      <c r="A233" s="3" t="s">
        <v>266</v>
      </c>
    </row>
    <row r="234" spans="1:1" outlineLevel="1" x14ac:dyDescent="0.25">
      <c r="A234" s="3" t="s">
        <v>267</v>
      </c>
    </row>
    <row r="235" spans="1:1" outlineLevel="1" x14ac:dyDescent="0.25">
      <c r="A235" s="3" t="s">
        <v>268</v>
      </c>
    </row>
    <row r="236" spans="1:1" outlineLevel="1" x14ac:dyDescent="0.25">
      <c r="A236" s="3" t="s">
        <v>269</v>
      </c>
    </row>
    <row r="237" spans="1:1" outlineLevel="1" x14ac:dyDescent="0.25">
      <c r="A237" s="3" t="s">
        <v>270</v>
      </c>
    </row>
    <row r="238" spans="1:1" outlineLevel="1" x14ac:dyDescent="0.25">
      <c r="A238" s="3" t="s">
        <v>271</v>
      </c>
    </row>
    <row r="239" spans="1:1" outlineLevel="1" x14ac:dyDescent="0.25">
      <c r="A239" s="3" t="s">
        <v>272</v>
      </c>
    </row>
    <row r="240" spans="1:1" outlineLevel="1" x14ac:dyDescent="0.25">
      <c r="A240" s="3" t="s">
        <v>273</v>
      </c>
    </row>
    <row r="241" spans="1:1" outlineLevel="1" x14ac:dyDescent="0.25">
      <c r="A241" s="3" t="s">
        <v>274</v>
      </c>
    </row>
    <row r="242" spans="1:1" outlineLevel="1" x14ac:dyDescent="0.25">
      <c r="A242" s="3" t="s">
        <v>275</v>
      </c>
    </row>
    <row r="243" spans="1:1" outlineLevel="1" x14ac:dyDescent="0.25">
      <c r="A243" s="3" t="s">
        <v>276</v>
      </c>
    </row>
    <row r="244" spans="1:1" outlineLevel="1" x14ac:dyDescent="0.25">
      <c r="A244" s="3" t="s">
        <v>277</v>
      </c>
    </row>
    <row r="245" spans="1:1" outlineLevel="1" x14ac:dyDescent="0.25">
      <c r="A245" s="3" t="s">
        <v>278</v>
      </c>
    </row>
    <row r="246" spans="1:1" outlineLevel="1" x14ac:dyDescent="0.25">
      <c r="A246" s="3" t="s">
        <v>279</v>
      </c>
    </row>
    <row r="247" spans="1:1" outlineLevel="1" x14ac:dyDescent="0.25">
      <c r="A247" s="3" t="s">
        <v>280</v>
      </c>
    </row>
    <row r="248" spans="1:1" outlineLevel="1" x14ac:dyDescent="0.25">
      <c r="A248" s="3" t="s">
        <v>281</v>
      </c>
    </row>
    <row r="744" collapsed="1" x14ac:dyDescent="0.25"/>
    <row r="992" collapsed="1" x14ac:dyDescent="0.25"/>
    <row r="1240" collapsed="1" x14ac:dyDescent="0.25"/>
    <row r="1488" collapsed="1" x14ac:dyDescent="0.25"/>
    <row r="1736" collapsed="1" x14ac:dyDescent="0.25"/>
    <row r="1984" collapsed="1" x14ac:dyDescent="0.25"/>
  </sheetData>
  <dataConsolidate/>
  <phoneticPr fontId="4" type="noConversion"/>
  <conditionalFormatting sqref="A2:A248">
    <cfRule type="duplicateValues" dxfId="17" priority="48"/>
  </conditionalFormatting>
  <conditionalFormatting sqref="A2:A248">
    <cfRule type="duplicateValues" dxfId="16" priority="49"/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H7"/>
  <sheetViews>
    <sheetView tabSelected="1" workbookViewId="0">
      <selection activeCell="D5" sqref="D5"/>
    </sheetView>
  </sheetViews>
  <sheetFormatPr defaultRowHeight="15" x14ac:dyDescent="0.25"/>
  <cols>
    <col min="1" max="1" width="15.28515625" style="11" customWidth="1"/>
    <col min="2" max="2" width="24.140625" style="11" customWidth="1"/>
    <col min="3" max="3" width="16.7109375" style="19" customWidth="1"/>
    <col min="4" max="4" width="29" style="18" customWidth="1"/>
    <col min="5" max="5" width="15.42578125" style="11" customWidth="1"/>
    <col min="6" max="6" width="27.7109375" style="11" customWidth="1"/>
    <col min="7" max="7" width="12.85546875" style="11" customWidth="1"/>
    <col min="8" max="8" width="23.85546875" style="20" customWidth="1"/>
  </cols>
  <sheetData>
    <row r="1" spans="1:8" ht="36" x14ac:dyDescent="0.25">
      <c r="A1" s="5" t="s">
        <v>6</v>
      </c>
      <c r="B1" s="1" t="s">
        <v>0</v>
      </c>
      <c r="C1" s="17" t="s">
        <v>7</v>
      </c>
      <c r="D1" s="7" t="s">
        <v>31</v>
      </c>
      <c r="E1" s="8" t="s">
        <v>8</v>
      </c>
      <c r="F1" s="7" t="s">
        <v>32</v>
      </c>
      <c r="G1" s="7" t="s">
        <v>33</v>
      </c>
      <c r="H1" s="7" t="s">
        <v>34</v>
      </c>
    </row>
    <row r="2" spans="1:8" x14ac:dyDescent="0.25">
      <c r="B2" s="4"/>
      <c r="C2" s="10"/>
      <c r="D2" s="18" t="str">
        <f ca="1">IF(((Tabela2[[#This Row],[Validade]]-TODAY())/30)&lt;0, "Vencido",ROUND((Tabela2[[#This Row],[Validade]]-TODAY())/30,1))</f>
        <v>Vencido</v>
      </c>
      <c r="E2" s="4"/>
      <c r="F2" s="19">
        <f>SUMIFS(Movimentação!C:C,Movimentação!A:A,Tabela2[[#This Row],[Item]],Movimentação!G:G,Tabela2[[#This Row],[Lote]],Movimentação!I:I,Tabela2[[#This Row],[Câmara]],Movimentação!B:B,"Entrada")</f>
        <v>0</v>
      </c>
      <c r="G2" s="19">
        <f>SUMIFS(Movimentação!C:C,Movimentação!A:A,Tabela2[[#This Row],[Item]],Movimentação!G:G,Tabela2[[#This Row],[Lote]],Movimentação!I:I,Tabela2[[#This Row],[Câmara]],Movimentação!B:B,"Saída")</f>
        <v>0</v>
      </c>
      <c r="H2" s="20">
        <f>Tabela2[Entradas]-Tabela2[Saídas]</f>
        <v>0</v>
      </c>
    </row>
    <row r="4" spans="1:8" x14ac:dyDescent="0.25">
      <c r="D4" s="21"/>
    </row>
    <row r="5" spans="1:8" x14ac:dyDescent="0.25">
      <c r="D5" s="24"/>
    </row>
    <row r="6" spans="1:8" x14ac:dyDescent="0.25">
      <c r="D6" s="23"/>
    </row>
    <row r="7" spans="1:8" x14ac:dyDescent="0.25">
      <c r="D7" s="22"/>
    </row>
  </sheetData>
  <phoneticPr fontId="4" type="noConversion"/>
  <dataValidations count="1">
    <dataValidation type="list" allowBlank="1" showInputMessage="1" showErrorMessage="1" sqref="B2" xr:uid="{00000000-0002-0000-0200-000000000000}">
      <formula1>Produtos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Movimentação</vt:lpstr>
      <vt:lpstr>Estoque</vt:lpstr>
      <vt:lpstr>Inventário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USER</cp:lastModifiedBy>
  <dcterms:created xsi:type="dcterms:W3CDTF">2020-04-07T07:02:11Z</dcterms:created>
  <dcterms:modified xsi:type="dcterms:W3CDTF">2021-11-16T11:39:03Z</dcterms:modified>
</cp:coreProperties>
</file>